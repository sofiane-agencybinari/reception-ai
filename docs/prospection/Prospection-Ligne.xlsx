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Appels &amp; visites" sheetId="2" state="visible" r:id="rId4"/>
    <sheet name="Mails envoyés" sheetId="3" state="visible" r:id="rId5"/>
    <sheet name="Script &amp; objections" sheetId="4" state="visible" r:id="rId6"/>
    <sheet name="Plan visibilité" sheetId="5" state="visible" r:id="rId7"/>
  </sheets>
  <definedNames>
    <definedName function="false" hidden="true" localSheetId="1" name="_xlnm._FilterDatabase" vbProcedure="false">'Appels &amp; visites'!$A$1:$M$18</definedName>
    <definedName function="false" hidden="true" localSheetId="2" name="_xlnm._FilterDatabase" vbProcedure="false">'Mails envoyés'!$A$1:$H$11</definedName>
    <definedName function="false" hidden="true" localSheetId="4" name="_xlnm._FilterDatabase" vbProcedure="false">'Plan visibilité'!$A$1:$F$12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<sst xmlns="http://schemas.openxmlformats.org/spreadsheetml/2006/main" count="318" uniqueCount="250">
  <si>
    <t xml:space="preserve">Prospection Ligne — fichier de suivi</t>
  </si>
  <si>
    <t xml:space="preserve">Mis à jour le 13/10/2026. Sources : fiches PagesJaunes et sites officiels des enseignes, consultés le 13/10/2026.</t>
  </si>
  <si>
    <t xml:space="preserve">Comment s'en servir</t>
  </si>
  <si>
    <t xml:space="preserve">1. Onglet « Appels &amp; visites » : restaurants sans e-mail public. Appelez entre 15 h et 17 h 30 (hors service), ou passez à la même heure.</t>
  </si>
  <si>
    <t xml:space="preserve">2. Après chaque contact, remplissez les cases jaunes : Statut (liste déroulante), Date du contact, Prochaine action, Notes.</t>
  </si>
  <si>
    <t xml:space="preserve">3. Onglet « Mails envoyés » : enseignes contactées par e-mail. La date de relance se calcule seule (3 jours ouvrés après l'envoi).</t>
  </si>
  <si>
    <t xml:space="preserve">4. Onglet « Script &amp; objections » : quoi dire au téléphone et sur place.</t>
  </si>
  <si>
    <t xml:space="preserve">5. Onglet « Plan visibilité » : les actions pour vous faire connaître, par ordre de priorité.</t>
  </si>
  <si>
    <t xml:space="preserve">Légende</t>
  </si>
  <si>
    <t xml:space="preserve">Cases jaunes = à remplir par vous. Le reste est rempli d'avance.</t>
  </si>
  <si>
    <t xml:space="preserve">Priorité 1 = beaucoup d'avis ou livraison mise en avant (plus d'appels, donc plus de commandes perdues au rush).</t>
  </si>
  <si>
    <t xml:space="preserve">Les réponses aux e-mails sont surveillées toutes les 2 h (9 h–19 h, lun.–sam.) : Claude vous prévient et prépare une réponse en brouillon.</t>
  </si>
  <si>
    <t xml:space="preserve">Priorité</t>
  </si>
  <si>
    <t xml:space="preserve">Restaurant</t>
  </si>
  <si>
    <t xml:space="preserve">Type</t>
  </si>
  <si>
    <t xml:space="preserve">Ville</t>
  </si>
  <si>
    <t xml:space="preserve">Adresse</t>
  </si>
  <si>
    <t xml:space="preserve">Téléphone</t>
  </si>
  <si>
    <t xml:space="preserve">Services</t>
  </si>
  <si>
    <t xml:space="preserve">Horaires / jours fermés</t>
  </si>
  <si>
    <t xml:space="preserve">Pourquoi le cibler</t>
  </si>
  <si>
    <t xml:space="preserve">Statut</t>
  </si>
  <si>
    <t xml:space="preserve">Date du contact</t>
  </si>
  <si>
    <t xml:space="preserve">Prochaine action</t>
  </si>
  <si>
    <t xml:space="preserve">Notes</t>
  </si>
  <si>
    <t xml:space="preserve">Leonardo</t>
  </si>
  <si>
    <t xml:space="preserve">Pizzeria</t>
  </si>
  <si>
    <t xml:space="preserve">Levallois-Perret</t>
  </si>
  <si>
    <t xml:space="preserve">109 rue Louis Rouquier, 92300 Levallois-Perret</t>
  </si>
  <si>
    <t xml:space="preserve">01 47 31 00 00</t>
  </si>
  <si>
    <t xml:space="preserve">Sur place, livraison 7j/7</t>
  </si>
  <si>
    <t xml:space="preserve">7j/7 11h30-14h30 / 18h30-23h30</t>
  </si>
  <si>
    <t xml:space="preserve">725 avis TheFork (4,8) : gros volume, livraison tous les jours</t>
  </si>
  <si>
    <t xml:space="preserve">À contacter</t>
  </si>
  <si>
    <t xml:space="preserve">Dizengoff 17e</t>
  </si>
  <si>
    <t xml:space="preserve">Pizza, sushi, casher</t>
  </si>
  <si>
    <t xml:space="preserve">Paris 17e</t>
  </si>
  <si>
    <t xml:space="preserve">98 rue Saussure, 75017 Paris</t>
  </si>
  <si>
    <t xml:space="preserve">01 53 81 02 48</t>
  </si>
  <si>
    <t xml:space="preserve">Emporter, livraison</t>
  </si>
  <si>
    <t xml:space="preserve">Fermé ven. soir ; sam. jusqu'à 2h30</t>
  </si>
  <si>
    <t xml:space="preserve">235 avis Google (4,1), service tard le soir</t>
  </si>
  <si>
    <t xml:space="preserve">O Papa</t>
  </si>
  <si>
    <t xml:space="preserve">Saint-Ouen</t>
  </si>
  <si>
    <t xml:space="preserve">26 rue du Docteur Bauer, 93400 Saint-Ouen-sur-Seine</t>
  </si>
  <si>
    <t xml:space="preserve">01 40 11 98 36</t>
  </si>
  <si>
    <t xml:space="preserve">Non précisé</t>
  </si>
  <si>
    <t xml:space="preserve">Lun.-ven. midi et soir ; sam.-dim. soir</t>
  </si>
  <si>
    <t xml:space="preserve">274 avis TheFork (4,5)</t>
  </si>
  <si>
    <t xml:space="preserve">Street Food Original</t>
  </si>
  <si>
    <t xml:space="preserve">Pizzas, restauration rapide</t>
  </si>
  <si>
    <t xml:space="preserve">12 rue du Général Lanrezac, 75017 Paris</t>
  </si>
  <si>
    <t xml:space="preserve">09 72 80 16 38</t>
  </si>
  <si>
    <t xml:space="preserve">Emporter, livraison, vente en ligne, sur place</t>
  </si>
  <si>
    <t xml:space="preserve">7j/7 7h-2h</t>
  </si>
  <si>
    <t xml:space="preserve">Ouvert jusqu'à 2 h : beaucoup d'appels hors heures</t>
  </si>
  <si>
    <t xml:space="preserve">Naan Stop</t>
  </si>
  <si>
    <t xml:space="preserve">Kebab, pizza, oriental</t>
  </si>
  <si>
    <t xml:space="preserve">78 avenue de Clichy, 75017 Paris</t>
  </si>
  <si>
    <t xml:space="preserve">01 82 07 71 01</t>
  </si>
  <si>
    <t xml:space="preserve">Livraison</t>
  </si>
  <si>
    <t xml:space="preserve">11h30-2h, fermé le samedi</t>
  </si>
  <si>
    <t xml:space="preserve">Livraison tard le soir</t>
  </si>
  <si>
    <t xml:space="preserve">Grand Zino</t>
  </si>
  <si>
    <t xml:space="preserve">Italien, pizzeria</t>
  </si>
  <si>
    <t xml:space="preserve">97 avenue de Villiers, 75017 Paris</t>
  </si>
  <si>
    <t xml:space="preserve">01 44 40 45 10</t>
  </si>
  <si>
    <t xml:space="preserve">Sur place, emporter, livraison</t>
  </si>
  <si>
    <t xml:space="preserve">7j/7 12h-15h / 19h-23h</t>
  </si>
  <si>
    <t xml:space="preserve">Restaurant + livraison : le téléphone sert aussi aux réservations</t>
  </si>
  <si>
    <t xml:space="preserve">Montécatini</t>
  </si>
  <si>
    <t xml:space="preserve">Courbevoie</t>
  </si>
  <si>
    <t xml:space="preserve">15 rue Louis Ulbach, 92400 Courbevoie</t>
  </si>
  <si>
    <t xml:space="preserve">01 43 33 01 10</t>
  </si>
  <si>
    <t xml:space="preserve">7j/7 12h-14h30 / 19h-22h30</t>
  </si>
  <si>
    <t xml:space="preserve">Livraison 7j/7</t>
  </si>
  <si>
    <t xml:space="preserve">Pizza King</t>
  </si>
  <si>
    <t xml:space="preserve">6 rue Adam Ledoux, 92400 Courbevoie</t>
  </si>
  <si>
    <t xml:space="preserve">01 41 16 01 01</t>
  </si>
  <si>
    <t xml:space="preserve">7j/7 11h30-14h30 / 18h-minuit</t>
  </si>
  <si>
    <t xml:space="preserve">Ouvert jusqu'à minuit</t>
  </si>
  <si>
    <t xml:space="preserve">Sotto Casa</t>
  </si>
  <si>
    <t xml:space="preserve">Clichy</t>
  </si>
  <si>
    <t xml:space="preserve">19 rue Henri Barbusse, 92110 Clichy</t>
  </si>
  <si>
    <t xml:space="preserve">09 87 51 92 21</t>
  </si>
  <si>
    <t xml:space="preserve">Livraison, sur place</t>
  </si>
  <si>
    <t xml:space="preserve">Fermé le lundi</t>
  </si>
  <si>
    <t xml:space="preserve">Met en avant la livraison rapide</t>
  </si>
  <si>
    <t xml:space="preserve">Resto Excel (Pizza Nostra)</t>
  </si>
  <si>
    <t xml:space="preserve">Pizza, crêpes, couscous</t>
  </si>
  <si>
    <t xml:space="preserve">Saint-Denis</t>
  </si>
  <si>
    <t xml:space="preserve">136 rue Gabriel Péri, 93200 Saint-Denis</t>
  </si>
  <si>
    <t xml:space="preserve">01 48 22 70 56</t>
  </si>
  <si>
    <t xml:space="preserve">Fermé le mercredi</t>
  </si>
  <si>
    <t xml:space="preserve">Carte large à emporter, même zone que Taiba</t>
  </si>
  <si>
    <t xml:space="preserve">Mamamia (Pizza Service)</t>
  </si>
  <si>
    <t xml:space="preserve">Pizzeria feu de bois</t>
  </si>
  <si>
    <t xml:space="preserve">18 boulevard Marcel Sembat, 93200 Saint-Denis</t>
  </si>
  <si>
    <t xml:space="preserve">01 42 43 16 17</t>
  </si>
  <si>
    <t xml:space="preserve">Fermé le dimanche ; ven.-sam. jusqu'à minuit</t>
  </si>
  <si>
    <t xml:space="preserve">Service tard le week-end</t>
  </si>
  <si>
    <t xml:space="preserve">Junk Burgers</t>
  </si>
  <si>
    <t xml:space="preserve">Burgers</t>
  </si>
  <si>
    <t xml:space="preserve">Neuilly-sur-Seine</t>
  </si>
  <si>
    <t xml:space="preserve">21 rue Paul Chatrousse, 92200 Neuilly-sur-Seine</t>
  </si>
  <si>
    <t xml:space="preserve">09 55 32 61 59</t>
  </si>
  <si>
    <t xml:space="preserve">Livraison, emporter</t>
  </si>
  <si>
    <t xml:space="preserve">7j/7 12h-14h30 / 19h-22h</t>
  </si>
  <si>
    <t xml:space="preserve">À côté de chez vous : visite facile</t>
  </si>
  <si>
    <t xml:space="preserve">L'Artisan du Burger</t>
  </si>
  <si>
    <t xml:space="preserve">5 bis place Parmentier, 92200 Neuilly-sur-Seine</t>
  </si>
  <si>
    <t xml:space="preserve">01 46 37 23 41</t>
  </si>
  <si>
    <t xml:space="preserve">Sur place, emporter</t>
  </si>
  <si>
    <t xml:space="preserve">Fermé mer. et dim.</t>
  </si>
  <si>
    <t xml:space="preserve">Pizza del Popolo</t>
  </si>
  <si>
    <t xml:space="preserve">Pizza, kebab</t>
  </si>
  <si>
    <t xml:space="preserve">153 rue Cardinet, 75017 Paris</t>
  </si>
  <si>
    <t xml:space="preserve">06 09 07 28 57</t>
  </si>
  <si>
    <t xml:space="preserve">Livraison, emporter, sur place</t>
  </si>
  <si>
    <t xml:space="preserve">Ouvert mer., jeu., dim. soir seulement</t>
  </si>
  <si>
    <t xml:space="preserve">Petit volume : à appeler en dernier</t>
  </si>
  <si>
    <t xml:space="preserve">Le Four Libanais</t>
  </si>
  <si>
    <t xml:space="preserve">Libanais</t>
  </si>
  <si>
    <t xml:space="preserve">37 rue Laugier, 75017 Paris</t>
  </si>
  <si>
    <t xml:space="preserve">À trouver sur place</t>
  </si>
  <si>
    <t xml:space="preserve">Livraison, click &amp; collect</t>
  </si>
  <si>
    <t xml:space="preserve">Non relevé</t>
  </si>
  <si>
    <t xml:space="preserve">Livraison : passer le voir</t>
  </si>
  <si>
    <t xml:space="preserve">Kebab des Batignolles</t>
  </si>
  <si>
    <t xml:space="preserve">Kebab</t>
  </si>
  <si>
    <t xml:space="preserve">43 rue des Batignolles, 75017 Paris</t>
  </si>
  <si>
    <t xml:space="preserve">Passer le voir</t>
  </si>
  <si>
    <t xml:space="preserve">Nachos</t>
  </si>
  <si>
    <t xml:space="preserve">Restauration rapide</t>
  </si>
  <si>
    <t xml:space="preserve">97 avenue Charles de Gaulle, 92200 Neuilly-sur-Seine</t>
  </si>
  <si>
    <t xml:space="preserve">À côté de chez vous</t>
  </si>
  <si>
    <t xml:space="preserve">Total prospects</t>
  </si>
  <si>
    <t xml:space="preserve">RDV pris</t>
  </si>
  <si>
    <t xml:space="preserve">Intéressé</t>
  </si>
  <si>
    <t xml:space="preserve">Client</t>
  </si>
  <si>
    <t xml:space="preserve">Enseigne</t>
  </si>
  <si>
    <t xml:space="preserve">Adresse e-mail</t>
  </si>
  <si>
    <t xml:space="preserve">Objet du mail</t>
  </si>
  <si>
    <t xml:space="preserve">Réseau (source)</t>
  </si>
  <si>
    <t xml:space="preserve">Date d'envoi</t>
  </si>
  <si>
    <t xml:space="preserve">Relance prévue le</t>
  </si>
  <si>
    <t xml:space="preserve">Réponse / notes</t>
  </si>
  <si>
    <t xml:space="preserve">Tasty Crousty</t>
  </si>
  <si>
    <t xml:space="preserve">franchise@tastycrousty.io</t>
  </si>
  <si>
    <t xml:space="preserve">Tasty Crousty : les clients qui appellent au lieu d'écrire sur WhatsApp</t>
  </si>
  <si>
    <t xml:space="preserve">Près de 50 adresses (d'après votre mail)</t>
  </si>
  <si>
    <t xml:space="preserve">En attente de réponse</t>
  </si>
  <si>
    <t xml:space="preserve">Taiba</t>
  </si>
  <si>
    <t xml:space="preserve">contact@pizzataiba.com</t>
  </si>
  <si>
    <t xml:space="preserve">Taiba : vos appels du vendredi soir</t>
  </si>
  <si>
    <t xml:space="preserve">Saint-Denis, Pierrefitte, Stains</t>
  </si>
  <si>
    <t xml:space="preserve">Crispy Soul</t>
  </si>
  <si>
    <t xml:space="preserve">contact@crispysoul.fr</t>
  </si>
  <si>
    <t xml:space="preserve">Crispy Soul : chaque appel décroché, même au rush</t>
  </si>
  <si>
    <t xml:space="preserve">7 restaurants à Paris</t>
  </si>
  <si>
    <t xml:space="preserve">Pizza Time (Story Développement)</t>
  </si>
  <si>
    <t xml:space="preserve">contact@storydeveloppement.com</t>
  </si>
  <si>
    <t xml:space="preserve">Pizza Time : un standard téléphonique pour tout le réseau</t>
  </si>
  <si>
    <t xml:space="preserve">60+ restaurants</t>
  </si>
  <si>
    <t xml:space="preserve">Five Pizza</t>
  </si>
  <si>
    <t xml:space="preserve">contact@fivepizzaoriginal.fr</t>
  </si>
  <si>
    <t xml:space="preserve">Five Pizza : les appels du rush de 19 h à 22 h</t>
  </si>
  <si>
    <t xml:space="preserve">Une trentaine de pizzerias en IDF</t>
  </si>
  <si>
    <t xml:space="preserve">Pizza Bonici</t>
  </si>
  <si>
    <t xml:space="preserve">contact@pizzabonici.com</t>
  </si>
  <si>
    <t xml:space="preserve">Pizza Bonici : chaque appel décroché, même au rush</t>
  </si>
  <si>
    <t xml:space="preserve">55 points de vente (pizzabonici.com)</t>
  </si>
  <si>
    <t xml:space="preserve">Tutti Pizza</t>
  </si>
  <si>
    <t xml:space="preserve">info@tutti-pizza.com</t>
  </si>
  <si>
    <t xml:space="preserve">Tutti Pizza : les appels du soir, décrochés à chaque fois</t>
  </si>
  <si>
    <t xml:space="preserve">60 Tutti Pizza + 20 Tutti'Matic (tutti-pizza.com)</t>
  </si>
  <si>
    <t xml:space="preserve">Chamas Tacos</t>
  </si>
  <si>
    <t xml:space="preserve">contact@chamas-tacos.fr</t>
  </si>
  <si>
    <t xml:space="preserve">Chamas Tacos : chaque commande téléphonique, même au rush</t>
  </si>
  <si>
    <t xml:space="preserve">100+ restaurants depuis 2014 (chamas-tacos.com)</t>
  </si>
  <si>
    <t xml:space="preserve">Tacos Avenue</t>
  </si>
  <si>
    <t xml:space="preserve">hb.tacosavenue@gmail.com</t>
  </si>
  <si>
    <t xml:space="preserve">Tacos Avenue : vos appels décrochés en moins de deux secondes</t>
  </si>
  <si>
    <t xml:space="preserve">30 restaurants (tacos-avenue.com)</t>
  </si>
  <si>
    <t xml:space="preserve">BCHEF</t>
  </si>
  <si>
    <t xml:space="preserve">contact@bchef.fr</t>
  </si>
  <si>
    <t xml:space="preserve">BCHEF : un standard téléphonique pour tous vos restaurants</t>
  </si>
  <si>
    <t xml:space="preserve">Restaurants, drives, livraison (bchef.fr)</t>
  </si>
  <si>
    <t xml:space="preserve">Relance : 3 jours ouvrés après l'envoi, par un mail court (« Je me permets de revenir vers vous… ») ou un appel au siège.</t>
  </si>
  <si>
    <t xml:space="preserve">Au téléphone (30 secondes)</t>
  </si>
  <si>
    <t xml:space="preserve">« Bonjour, je m'appelle Sofiane, je suis à Neuilly, je m'occupe de Ligne. Je ne vous dérange pas en plein service ? »</t>
  </si>
  <si>
    <t xml:space="preserve">« Petite question : au rush, il vous arrive de rater des appels ? »  (laisser répondre)</t>
  </si>
  <si>
    <t xml:space="preserve">« On a créé Ligne : un assistant qui décroche à votre place, prend la commande à la voix et l'envoie en cuisine, avec un SMS de confirmation au client. Vous gardez votre numéro. »</t>
  </si>
  <si>
    <t xml:space="preserve">« Le plus simple, c'est d'essayer : appelez la démo sur ligne-ai.com et commandez comme un client. Je peux passer vous la montrer demain vers 16 h ? »</t>
  </si>
  <si>
    <t xml:space="preserve">Sur place</t>
  </si>
  <si>
    <t xml:space="preserve">Venir entre 15 h et 17 h 30. Téléphone en main : leur faire appeler la démo devant vous, en haut-parleur. C'est le moment qui convainc.</t>
  </si>
  <si>
    <t xml:space="preserve">Proposer de configurer Ligne avec LEUR carte pour une démo personnalisée : ils entendent leurs propres plats.</t>
  </si>
  <si>
    <t xml:space="preserve">Objections</t>
  </si>
  <si>
    <t xml:space="preserve">« C'est trop cher » → À partir de 49 € par mois, sans engagement. Une commande récupérée par jour au rush suffit à le rembourser.</t>
  </si>
  <si>
    <t xml:space="preserve">« Mes clients veulent parler à quelqu'un » → Ils veulent surtout être servis vite. Faites-leur tester la démo : la conversation est naturelle. En formule Business, l'appel peut être transféré à l'équipe.</t>
  </si>
  <si>
    <t xml:space="preserve">« J'ai déjà Uber Eats / Deliveroo » → Ligne ne remplace pas les plateformes : il récupère les clients qui appellent, sans commission.</t>
  </si>
  <si>
    <t xml:space="preserve">« Je dois changer de numéro ? » → Non, votre numéro est simplement renvoyé vers Ligne. Installation en 24 h.</t>
  </si>
  <si>
    <t xml:space="preserve">« Je réfléchis » → Proposer un rappel à date fixe et laisser le lien de la démo par SMS.</t>
  </si>
  <si>
    <t xml:space="preserve">Tarifs (à ne jamais modifier sans accord)</t>
  </si>
  <si>
    <t xml:space="preserve">Essentiel 49 €/mois (2 appels simultanés, 0,19 €/min) · Pro 99 €/mois (4 appels, 0,17 €/min) · Business 199 €/mois (10 appels, 0,15 €/min, transfert humain). Sans engagement.</t>
  </si>
  <si>
    <t xml:space="preserve">Action</t>
  </si>
  <si>
    <t xml:space="preserve">Pourquoi</t>
  </si>
  <si>
    <t xml:space="preserve">Qui</t>
  </si>
  <si>
    <t xml:space="preserve">Temps</t>
  </si>
  <si>
    <t xml:space="preserve">Créer la fiche Google Business Profile de Ligne (catégorie « Éditeur de logiciels », Neuilly-sur-Seine), avec le lien de la démo</t>
  </si>
  <si>
    <t xml:space="preserve">Les restaurateurs qui cherchent « standard téléphonique restaurant » tombent sur vous ; base pour les avis</t>
  </si>
  <si>
    <t xml:space="preserve">Vous (5 min) — Claude rédige la description</t>
  </si>
  <si>
    <t xml:space="preserve">20 min</t>
  </si>
  <si>
    <t xml:space="preserve">À faire</t>
  </si>
  <si>
    <t xml:space="preserve">Vidéo de 30 s : appel réel à la démo, filmé à l'écran, sous-titrée. À publier sur LinkedIn, Instagram, TikTok</t>
  </si>
  <si>
    <t xml:space="preserve">Le produit se comprend en l'entendant : c'est votre meilleur argument</t>
  </si>
  <si>
    <t xml:space="preserve">Vous filmez — Claude écrit le texte et les sous-titres</t>
  </si>
  <si>
    <t xml:space="preserve">1 h</t>
  </si>
  <si>
    <t xml:space="preserve">LinkedIn : 20 invitations par jour à des gérants de restaurants / franchisés, avec note (modèle dans docs/lancement/kit-lancement.md)</t>
  </si>
  <si>
    <t xml:space="preserve">Accès direct aux décideurs, gratuit</t>
  </si>
  <si>
    <t xml:space="preserve">Vous</t>
  </si>
  <si>
    <t xml:space="preserve">15 min / jour</t>
  </si>
  <si>
    <t xml:space="preserve">LinkedIn : 3 posts par semaine (posts prêts dans docs/social/posts.md)</t>
  </si>
  <si>
    <t xml:space="preserve">Crédibilité quand les prospects vous cherchent après un appel ou un mail</t>
  </si>
  <si>
    <t xml:space="preserve">Claude prépare — vous publiez</t>
  </si>
  <si>
    <t xml:space="preserve">10 min / post</t>
  </si>
  <si>
    <t xml:space="preserve">Démo personnalisée : configurer Ligne avec la carte d'un prospect chaud (comme Bella Napoli / El Bahja)</t>
  </si>
  <si>
    <t xml:space="preserve">Le prospect entend ses propres plats : très fort pour conclure</t>
  </si>
  <si>
    <t xml:space="preserve">Claude</t>
  </si>
  <si>
    <t xml:space="preserve">1 h par prospect</t>
  </si>
  <si>
    <t xml:space="preserve">SEO : 2 guides par semaine sur ligne-ai.com (plan de 30 sujets déjà prêt)</t>
  </si>
  <si>
    <t xml:space="preserve">Trafic Google gratuit et durable</t>
  </si>
  <si>
    <t xml:space="preserve">Automatique</t>
  </si>
  <si>
    <t xml:space="preserve">S'inscrire sur les annuaires de logiciels (Capterra, GetApp, Appvizer)</t>
  </si>
  <si>
    <t xml:space="preserve">Les restaurateurs comparent sur ces sites ; liens vers votre site</t>
  </si>
  <si>
    <t xml:space="preserve">Vous (création des comptes) — Claude rédige les fiches</t>
  </si>
  <si>
    <t xml:space="preserve">Flyer A5 avec QR code vers la démo, à laisser après chaque visite</t>
  </si>
  <si>
    <t xml:space="preserve">Le gérant teste plus tard, à tête reposée</t>
  </si>
  <si>
    <t xml:space="preserve">Claude conçoit — vous imprimez</t>
  </si>
  <si>
    <t xml:space="preserve">30 min</t>
  </si>
  <si>
    <t xml:space="preserve">Partenariats : experts-comptables spécialisés restauration, vendeurs de caisses, fournisseurs</t>
  </si>
  <si>
    <t xml:space="preserve">Un partenaire = plusieurs restaurants recommandés</t>
  </si>
  <si>
    <t xml:space="preserve">Vous — Claude prépare le mail de partenariat</t>
  </si>
  <si>
    <t xml:space="preserve">2 h</t>
  </si>
  <si>
    <t xml:space="preserve">Premiers clients : demander un témoignage vidéo et un avis Google (uniquement des avis réels)</t>
  </si>
  <si>
    <t xml:space="preserve">La preuve sociale fait signer les suivants</t>
  </si>
  <si>
    <t xml:space="preserve">Après chaque signature</t>
  </si>
  <si>
    <t xml:space="preserve">Groupes Facebook / communautés de restaurateurs : partager les guides (pas de publicité directe)</t>
  </si>
  <si>
    <t xml:space="preserve">Visibilité ciblée sans paraître commercial</t>
  </si>
  <si>
    <t xml:space="preserve">20 min / semaine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</si>
</sst>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C2A3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5C2A36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C2A36"/>
        <bgColor rgb="FF33330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C"/>
      </left>
      <right style="thin">
        <color rgb="FFD9D3CC"/>
      </right>
      <top style="thin">
        <color rgb="FFD9D3CC"/>
      </top>
      <bottom style="thin">
        <color rgb="FFD9D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C2A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9D3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2A36"/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2A36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8"/>
    <col collapsed="false" customWidth="true" hidden="false" outlineLevel="0" max="9" min="9" style="0" width="4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</row>
    <row r="2" customFormat="false" ht="23.85" hidden="false" customHeight="false" outlineLevel="0" collapsed="false">
      <c r="A2" s="5" t="n">
        <v>1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7" t="s">
        <v>33</v>
      </c>
      <c r="K2" s="8"/>
      <c r="L2" s="7"/>
      <c r="M2" s="7"/>
    </row>
    <row r="3" customFormat="false" ht="23.85" hidden="false" customHeight="false" outlineLevel="0" collapsed="false">
      <c r="A3" s="5" t="n">
        <v>1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7" t="s">
        <v>33</v>
      </c>
      <c r="K3" s="8"/>
      <c r="L3" s="7"/>
      <c r="M3" s="7"/>
    </row>
    <row r="4" customFormat="false" ht="23.85" hidden="false" customHeight="false" outlineLevel="0" collapsed="false">
      <c r="A4" s="5" t="n">
        <v>1</v>
      </c>
      <c r="B4" s="6" t="s">
        <v>42</v>
      </c>
      <c r="C4" s="6" t="s">
        <v>26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7" t="s">
        <v>33</v>
      </c>
      <c r="K4" s="8"/>
      <c r="L4" s="7"/>
      <c r="M4" s="7"/>
    </row>
    <row r="5" customFormat="false" ht="23.85" hidden="false" customHeight="false" outlineLevel="0" collapsed="false">
      <c r="A5" s="5" t="n">
        <v>1</v>
      </c>
      <c r="B5" s="6" t="s">
        <v>49</v>
      </c>
      <c r="C5" s="6" t="s">
        <v>50</v>
      </c>
      <c r="D5" s="6" t="s">
        <v>36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7" t="s">
        <v>33</v>
      </c>
      <c r="K5" s="8"/>
      <c r="L5" s="7"/>
      <c r="M5" s="7"/>
    </row>
    <row r="6" customFormat="false" ht="15" hidden="false" customHeight="false" outlineLevel="0" collapsed="false">
      <c r="A6" s="5" t="n">
        <v>1</v>
      </c>
      <c r="B6" s="6" t="s">
        <v>56</v>
      </c>
      <c r="C6" s="6" t="s">
        <v>57</v>
      </c>
      <c r="D6" s="6" t="s">
        <v>36</v>
      </c>
      <c r="E6" s="6" t="s">
        <v>58</v>
      </c>
      <c r="F6" s="6" t="s">
        <v>59</v>
      </c>
      <c r="G6" s="6" t="s">
        <v>60</v>
      </c>
      <c r="H6" s="6" t="s">
        <v>61</v>
      </c>
      <c r="I6" s="6" t="s">
        <v>62</v>
      </c>
      <c r="J6" s="7" t="s">
        <v>33</v>
      </c>
      <c r="K6" s="8"/>
      <c r="L6" s="7"/>
      <c r="M6" s="7"/>
    </row>
    <row r="7" customFormat="false" ht="23.85" hidden="false" customHeight="false" outlineLevel="0" collapsed="false">
      <c r="A7" s="5" t="n">
        <v>1</v>
      </c>
      <c r="B7" s="6" t="s">
        <v>63</v>
      </c>
      <c r="C7" s="6" t="s">
        <v>64</v>
      </c>
      <c r="D7" s="6" t="s">
        <v>36</v>
      </c>
      <c r="E7" s="6" t="s">
        <v>65</v>
      </c>
      <c r="F7" s="6" t="s">
        <v>66</v>
      </c>
      <c r="G7" s="6" t="s">
        <v>67</v>
      </c>
      <c r="H7" s="6" t="s">
        <v>68</v>
      </c>
      <c r="I7" s="6" t="s">
        <v>69</v>
      </c>
      <c r="J7" s="7" t="s">
        <v>33</v>
      </c>
      <c r="K7" s="8"/>
      <c r="L7" s="7"/>
      <c r="M7" s="7"/>
    </row>
    <row r="8" customFormat="false" ht="15" hidden="false" customHeight="false" outlineLevel="0" collapsed="false">
      <c r="A8" s="5" t="n">
        <v>2</v>
      </c>
      <c r="B8" s="6" t="s">
        <v>70</v>
      </c>
      <c r="C8" s="6" t="s">
        <v>26</v>
      </c>
      <c r="D8" s="6" t="s">
        <v>71</v>
      </c>
      <c r="E8" s="6" t="s">
        <v>72</v>
      </c>
      <c r="F8" s="6" t="s">
        <v>73</v>
      </c>
      <c r="G8" s="6" t="s">
        <v>67</v>
      </c>
      <c r="H8" s="6" t="s">
        <v>74</v>
      </c>
      <c r="I8" s="6" t="s">
        <v>75</v>
      </c>
      <c r="J8" s="7" t="s">
        <v>33</v>
      </c>
      <c r="K8" s="8"/>
      <c r="L8" s="7"/>
      <c r="M8" s="7"/>
    </row>
    <row r="9" customFormat="false" ht="15" hidden="false" customHeight="false" outlineLevel="0" collapsed="false">
      <c r="A9" s="5" t="n">
        <v>2</v>
      </c>
      <c r="B9" s="6" t="s">
        <v>76</v>
      </c>
      <c r="C9" s="6" t="s">
        <v>26</v>
      </c>
      <c r="D9" s="6" t="s">
        <v>71</v>
      </c>
      <c r="E9" s="6" t="s">
        <v>77</v>
      </c>
      <c r="F9" s="6" t="s">
        <v>78</v>
      </c>
      <c r="G9" s="6" t="s">
        <v>46</v>
      </c>
      <c r="H9" s="6" t="s">
        <v>79</v>
      </c>
      <c r="I9" s="6" t="s">
        <v>80</v>
      </c>
      <c r="J9" s="7" t="s">
        <v>33</v>
      </c>
      <c r="K9" s="8"/>
      <c r="L9" s="7"/>
      <c r="M9" s="7"/>
    </row>
    <row r="10" customFormat="false" ht="15" hidden="false" customHeight="false" outlineLevel="0" collapsed="false">
      <c r="A10" s="5" t="n">
        <v>2</v>
      </c>
      <c r="B10" s="6" t="s">
        <v>81</v>
      </c>
      <c r="C10" s="6" t="s">
        <v>26</v>
      </c>
      <c r="D10" s="6" t="s">
        <v>82</v>
      </c>
      <c r="E10" s="6" t="s">
        <v>83</v>
      </c>
      <c r="F10" s="6" t="s">
        <v>84</v>
      </c>
      <c r="G10" s="6" t="s">
        <v>85</v>
      </c>
      <c r="H10" s="6" t="s">
        <v>86</v>
      </c>
      <c r="I10" s="6" t="s">
        <v>87</v>
      </c>
      <c r="J10" s="7" t="s">
        <v>33</v>
      </c>
      <c r="K10" s="8"/>
      <c r="L10" s="7"/>
      <c r="M10" s="7"/>
    </row>
    <row r="11" customFormat="false" ht="23.85" hidden="false" customHeight="false" outlineLevel="0" collapsed="false">
      <c r="A11" s="5" t="n">
        <v>2</v>
      </c>
      <c r="B11" s="6" t="s">
        <v>88</v>
      </c>
      <c r="C11" s="6" t="s">
        <v>89</v>
      </c>
      <c r="D11" s="6" t="s">
        <v>90</v>
      </c>
      <c r="E11" s="6" t="s">
        <v>91</v>
      </c>
      <c r="F11" s="6" t="s">
        <v>92</v>
      </c>
      <c r="G11" s="6" t="s">
        <v>39</v>
      </c>
      <c r="H11" s="6" t="s">
        <v>93</v>
      </c>
      <c r="I11" s="6" t="s">
        <v>94</v>
      </c>
      <c r="J11" s="7" t="s">
        <v>33</v>
      </c>
      <c r="K11" s="8"/>
      <c r="L11" s="7"/>
      <c r="M11" s="7"/>
    </row>
    <row r="12" customFormat="false" ht="23.85" hidden="false" customHeight="false" outlineLevel="0" collapsed="false">
      <c r="A12" s="5" t="n">
        <v>2</v>
      </c>
      <c r="B12" s="6" t="s">
        <v>95</v>
      </c>
      <c r="C12" s="6" t="s">
        <v>96</v>
      </c>
      <c r="D12" s="6" t="s">
        <v>90</v>
      </c>
      <c r="E12" s="6" t="s">
        <v>97</v>
      </c>
      <c r="F12" s="6" t="s">
        <v>98</v>
      </c>
      <c r="G12" s="6" t="s">
        <v>46</v>
      </c>
      <c r="H12" s="6" t="s">
        <v>99</v>
      </c>
      <c r="I12" s="6" t="s">
        <v>100</v>
      </c>
      <c r="J12" s="7" t="s">
        <v>33</v>
      </c>
      <c r="K12" s="8"/>
      <c r="L12" s="7"/>
      <c r="M12" s="7"/>
    </row>
    <row r="13" customFormat="false" ht="15" hidden="false" customHeight="false" outlineLevel="0" collapsed="false">
      <c r="A13" s="5" t="n">
        <v>2</v>
      </c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G13" s="6" t="s">
        <v>106</v>
      </c>
      <c r="H13" s="6" t="s">
        <v>107</v>
      </c>
      <c r="I13" s="6" t="s">
        <v>108</v>
      </c>
      <c r="J13" s="7" t="s">
        <v>33</v>
      </c>
      <c r="K13" s="8"/>
      <c r="L13" s="7"/>
      <c r="M13" s="7"/>
    </row>
    <row r="14" customFormat="false" ht="15" hidden="false" customHeight="false" outlineLevel="0" collapsed="false">
      <c r="A14" s="5" t="n">
        <v>2</v>
      </c>
      <c r="B14" s="6" t="s">
        <v>109</v>
      </c>
      <c r="C14" s="6" t="s">
        <v>102</v>
      </c>
      <c r="D14" s="6" t="s">
        <v>103</v>
      </c>
      <c r="E14" s="6" t="s">
        <v>110</v>
      </c>
      <c r="F14" s="6" t="s">
        <v>111</v>
      </c>
      <c r="G14" s="6" t="s">
        <v>112</v>
      </c>
      <c r="H14" s="6" t="s">
        <v>113</v>
      </c>
      <c r="I14" s="6" t="s">
        <v>108</v>
      </c>
      <c r="J14" s="7" t="s">
        <v>33</v>
      </c>
      <c r="K14" s="8"/>
      <c r="L14" s="7"/>
      <c r="M14" s="7"/>
    </row>
    <row r="15" customFormat="false" ht="23.85" hidden="false" customHeight="false" outlineLevel="0" collapsed="false">
      <c r="A15" s="5" t="n">
        <v>3</v>
      </c>
      <c r="B15" s="6" t="s">
        <v>114</v>
      </c>
      <c r="C15" s="6" t="s">
        <v>115</v>
      </c>
      <c r="D15" s="6" t="s">
        <v>36</v>
      </c>
      <c r="E15" s="6" t="s">
        <v>116</v>
      </c>
      <c r="F15" s="6" t="s">
        <v>117</v>
      </c>
      <c r="G15" s="6" t="s">
        <v>118</v>
      </c>
      <c r="H15" s="6" t="s">
        <v>119</v>
      </c>
      <c r="I15" s="6" t="s">
        <v>120</v>
      </c>
      <c r="J15" s="7" t="s">
        <v>33</v>
      </c>
      <c r="K15" s="8"/>
      <c r="L15" s="7"/>
      <c r="M15" s="7"/>
    </row>
    <row r="16" customFormat="false" ht="15" hidden="false" customHeight="false" outlineLevel="0" collapsed="false">
      <c r="A16" s="5" t="n">
        <v>3</v>
      </c>
      <c r="B16" s="6" t="s">
        <v>121</v>
      </c>
      <c r="C16" s="6" t="s">
        <v>122</v>
      </c>
      <c r="D16" s="6" t="s">
        <v>36</v>
      </c>
      <c r="E16" s="6" t="s">
        <v>123</v>
      </c>
      <c r="F16" s="6" t="s">
        <v>124</v>
      </c>
      <c r="G16" s="6" t="s">
        <v>125</v>
      </c>
      <c r="H16" s="6" t="s">
        <v>126</v>
      </c>
      <c r="I16" s="6" t="s">
        <v>127</v>
      </c>
      <c r="J16" s="7" t="s">
        <v>33</v>
      </c>
      <c r="K16" s="8"/>
      <c r="L16" s="7"/>
      <c r="M16" s="7"/>
    </row>
    <row r="17" customFormat="false" ht="15" hidden="false" customHeight="false" outlineLevel="0" collapsed="false">
      <c r="A17" s="5" t="n">
        <v>3</v>
      </c>
      <c r="B17" s="6" t="s">
        <v>128</v>
      </c>
      <c r="C17" s="6" t="s">
        <v>129</v>
      </c>
      <c r="D17" s="6" t="s">
        <v>36</v>
      </c>
      <c r="E17" s="6" t="s">
        <v>130</v>
      </c>
      <c r="F17" s="6" t="s">
        <v>124</v>
      </c>
      <c r="G17" s="6" t="s">
        <v>46</v>
      </c>
      <c r="H17" s="6" t="s">
        <v>126</v>
      </c>
      <c r="I17" s="6" t="s">
        <v>131</v>
      </c>
      <c r="J17" s="7" t="s">
        <v>33</v>
      </c>
      <c r="K17" s="8"/>
      <c r="L17" s="7"/>
      <c r="M17" s="7"/>
    </row>
    <row r="18" customFormat="false" ht="23.85" hidden="false" customHeight="false" outlineLevel="0" collapsed="false">
      <c r="A18" s="5" t="n">
        <v>3</v>
      </c>
      <c r="B18" s="6" t="s">
        <v>132</v>
      </c>
      <c r="C18" s="6" t="s">
        <v>133</v>
      </c>
      <c r="D18" s="6" t="s">
        <v>103</v>
      </c>
      <c r="E18" s="6" t="s">
        <v>134</v>
      </c>
      <c r="F18" s="6" t="s">
        <v>124</v>
      </c>
      <c r="G18" s="6" t="s">
        <v>46</v>
      </c>
      <c r="H18" s="6" t="s">
        <v>126</v>
      </c>
      <c r="I18" s="6" t="s">
        <v>135</v>
      </c>
      <c r="J18" s="7" t="s">
        <v>33</v>
      </c>
      <c r="K18" s="8"/>
      <c r="L18" s="7"/>
      <c r="M18" s="7"/>
    </row>
    <row r="20" customFormat="false" ht="15" hidden="false" customHeight="false" outlineLevel="0" collapsed="false">
      <c r="B20" s="9" t="s">
        <v>136</v>
      </c>
      <c r="C20" s="10" t="n">
        <f aca="false">COUNTA(B2:B18)</f>
        <v>17</v>
      </c>
    </row>
    <row r="21" customFormat="false" ht="15" hidden="false" customHeight="false" outlineLevel="0" collapsed="false">
      <c r="B21" s="9" t="s">
        <v>137</v>
      </c>
      <c r="C21" s="10" t="n">
        <f aca="false">COUNTIF($J$2:$J$18,B21)</f>
        <v>0</v>
      </c>
    </row>
    <row r="22" customFormat="false" ht="15" hidden="false" customHeight="false" outlineLevel="0" collapsed="false">
      <c r="B22" s="9" t="s">
        <v>138</v>
      </c>
      <c r="C22" s="10" t="n">
        <f aca="false">COUNTIF($J$2:$J$18,B22)</f>
        <v>0</v>
      </c>
    </row>
    <row r="23" customFormat="false" ht="15" hidden="false" customHeight="false" outlineLevel="0" collapsed="false">
      <c r="B23" s="9" t="s">
        <v>139</v>
      </c>
      <c r="C23" s="10" t="n">
        <f aca="false">COUNTIF($J$2:$J$18,B23)</f>
        <v>0</v>
      </c>
    </row>
  </sheetData>
  <autoFilter ref="A1:M18"/>
  <dataValidations count="1">
    <dataValidation allowBlank="true" errorStyle="stop" operator="between" showDropDown="false" showErrorMessage="false" showInputMessage="false" sqref="J2:J18" type="list">
      <formula1>"À contacter,Appelé - rappeler,Démo testée,RDV pris,Intéressé,Client,Pas intéressé,Injoignable"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2A36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30" hidden="false" customHeight="true" outlineLevel="0" collapsed="false">
      <c r="A1" s="4" t="s">
        <v>140</v>
      </c>
      <c r="B1" s="4" t="s">
        <v>141</v>
      </c>
      <c r="C1" s="4" t="s">
        <v>142</v>
      </c>
      <c r="D1" s="4" t="s">
        <v>143</v>
      </c>
      <c r="E1" s="4" t="s">
        <v>144</v>
      </c>
      <c r="F1" s="4" t="s">
        <v>145</v>
      </c>
      <c r="G1" s="4" t="s">
        <v>21</v>
      </c>
      <c r="H1" s="4" t="s">
        <v>146</v>
      </c>
    </row>
    <row r="2" customFormat="false" ht="23.85" hidden="false" customHeight="false" outlineLevel="0" collapsed="false">
      <c r="A2" s="6" t="s">
        <v>147</v>
      </c>
      <c r="B2" s="6" t="s">
        <v>148</v>
      </c>
      <c r="C2" s="6" t="s">
        <v>149</v>
      </c>
      <c r="D2" s="6" t="s">
        <v>150</v>
      </c>
      <c r="E2" s="11" t="n">
        <v>46307</v>
      </c>
      <c r="F2" s="11" t="n">
        <f aca="false">WORKDAY(E2,3)</f>
        <v>46310</v>
      </c>
      <c r="G2" s="7" t="s">
        <v>151</v>
      </c>
      <c r="H2" s="7"/>
    </row>
    <row r="3" customFormat="false" ht="15" hidden="false" customHeight="false" outlineLevel="0" collapsed="false">
      <c r="A3" s="6" t="s">
        <v>152</v>
      </c>
      <c r="B3" s="6" t="s">
        <v>153</v>
      </c>
      <c r="C3" s="6" t="s">
        <v>154</v>
      </c>
      <c r="D3" s="6" t="s">
        <v>155</v>
      </c>
      <c r="E3" s="11" t="n">
        <v>46308</v>
      </c>
      <c r="F3" s="11" t="n">
        <f aca="false">WORKDAY(E3,3)</f>
        <v>46311</v>
      </c>
      <c r="G3" s="7" t="s">
        <v>151</v>
      </c>
      <c r="H3" s="7"/>
    </row>
    <row r="4" customFormat="false" ht="15" hidden="false" customHeight="false" outlineLevel="0" collapsed="false">
      <c r="A4" s="6" t="s">
        <v>156</v>
      </c>
      <c r="B4" s="6" t="s">
        <v>157</v>
      </c>
      <c r="C4" s="6" t="s">
        <v>158</v>
      </c>
      <c r="D4" s="6" t="s">
        <v>159</v>
      </c>
      <c r="E4" s="11" t="n">
        <v>46308</v>
      </c>
      <c r="F4" s="11" t="n">
        <f aca="false">WORKDAY(E4,3)</f>
        <v>46311</v>
      </c>
      <c r="G4" s="7" t="s">
        <v>151</v>
      </c>
      <c r="H4" s="7"/>
    </row>
    <row r="5" customFormat="false" ht="23.85" hidden="false" customHeight="false" outlineLevel="0" collapsed="false">
      <c r="A5" s="6" t="s">
        <v>160</v>
      </c>
      <c r="B5" s="6" t="s">
        <v>161</v>
      </c>
      <c r="C5" s="6" t="s">
        <v>162</v>
      </c>
      <c r="D5" s="6" t="s">
        <v>163</v>
      </c>
      <c r="E5" s="11" t="n">
        <v>46308</v>
      </c>
      <c r="F5" s="11" t="n">
        <f aca="false">WORKDAY(E5,3)</f>
        <v>46311</v>
      </c>
      <c r="G5" s="7" t="s">
        <v>151</v>
      </c>
      <c r="H5" s="7"/>
    </row>
    <row r="6" customFormat="false" ht="15" hidden="false" customHeight="false" outlineLevel="0" collapsed="false">
      <c r="A6" s="6" t="s">
        <v>164</v>
      </c>
      <c r="B6" s="6" t="s">
        <v>165</v>
      </c>
      <c r="C6" s="6" t="s">
        <v>166</v>
      </c>
      <c r="D6" s="6" t="s">
        <v>167</v>
      </c>
      <c r="E6" s="11" t="n">
        <v>46308</v>
      </c>
      <c r="F6" s="11" t="n">
        <f aca="false">WORKDAY(E6,3)</f>
        <v>46311</v>
      </c>
      <c r="G6" s="7" t="s">
        <v>151</v>
      </c>
      <c r="H6" s="7"/>
    </row>
    <row r="7" customFormat="false" ht="15" hidden="false" customHeight="false" outlineLevel="0" collapsed="false">
      <c r="A7" s="6" t="s">
        <v>168</v>
      </c>
      <c r="B7" s="6" t="s">
        <v>169</v>
      </c>
      <c r="C7" s="6" t="s">
        <v>170</v>
      </c>
      <c r="D7" s="6" t="s">
        <v>171</v>
      </c>
      <c r="E7" s="11" t="n">
        <v>46308</v>
      </c>
      <c r="F7" s="11" t="n">
        <f aca="false">WORKDAY(E7,3)</f>
        <v>46311</v>
      </c>
      <c r="G7" s="7" t="s">
        <v>151</v>
      </c>
      <c r="H7" s="7"/>
    </row>
    <row r="8" customFormat="false" ht="23.85" hidden="false" customHeight="false" outlineLevel="0" collapsed="false">
      <c r="A8" s="6" t="s">
        <v>172</v>
      </c>
      <c r="B8" s="6" t="s">
        <v>173</v>
      </c>
      <c r="C8" s="6" t="s">
        <v>174</v>
      </c>
      <c r="D8" s="6" t="s">
        <v>175</v>
      </c>
      <c r="E8" s="11" t="n">
        <v>46308</v>
      </c>
      <c r="F8" s="11" t="n">
        <f aca="false">WORKDAY(E8,3)</f>
        <v>46311</v>
      </c>
      <c r="G8" s="7" t="s">
        <v>151</v>
      </c>
      <c r="H8" s="7"/>
    </row>
    <row r="9" customFormat="false" ht="23.85" hidden="false" customHeight="false" outlineLevel="0" collapsed="false">
      <c r="A9" s="6" t="s">
        <v>176</v>
      </c>
      <c r="B9" s="6" t="s">
        <v>177</v>
      </c>
      <c r="C9" s="6" t="s">
        <v>178</v>
      </c>
      <c r="D9" s="6" t="s">
        <v>179</v>
      </c>
      <c r="E9" s="11" t="n">
        <v>46308</v>
      </c>
      <c r="F9" s="11" t="n">
        <f aca="false">WORKDAY(E9,3)</f>
        <v>46311</v>
      </c>
      <c r="G9" s="7" t="s">
        <v>151</v>
      </c>
      <c r="H9" s="7"/>
    </row>
    <row r="10" customFormat="false" ht="23.85" hidden="false" customHeight="false" outlineLevel="0" collapsed="false">
      <c r="A10" s="6" t="s">
        <v>180</v>
      </c>
      <c r="B10" s="6" t="s">
        <v>181</v>
      </c>
      <c r="C10" s="6" t="s">
        <v>182</v>
      </c>
      <c r="D10" s="6" t="s">
        <v>183</v>
      </c>
      <c r="E10" s="11" t="n">
        <v>46308</v>
      </c>
      <c r="F10" s="11" t="n">
        <f aca="false">WORKDAY(E10,3)</f>
        <v>46311</v>
      </c>
      <c r="G10" s="7" t="s">
        <v>151</v>
      </c>
      <c r="H10" s="7"/>
    </row>
    <row r="11" customFormat="false" ht="15" hidden="false" customHeight="false" outlineLevel="0" collapsed="false">
      <c r="A11" s="6" t="s">
        <v>184</v>
      </c>
      <c r="B11" s="6" t="s">
        <v>185</v>
      </c>
      <c r="C11" s="6" t="s">
        <v>186</v>
      </c>
      <c r="D11" s="6" t="s">
        <v>187</v>
      </c>
      <c r="E11" s="11" t="n">
        <v>46308</v>
      </c>
      <c r="F11" s="11" t="n">
        <f aca="false">WORKDAY(E11,3)</f>
        <v>46311</v>
      </c>
      <c r="G11" s="7" t="s">
        <v>151</v>
      </c>
      <c r="H11" s="7"/>
    </row>
    <row r="13" customFormat="false" ht="15" hidden="false" customHeight="false" outlineLevel="0" collapsed="false">
      <c r="A13" s="12" t="s">
        <v>188</v>
      </c>
    </row>
  </sheetData>
  <autoFilter ref="A1:H11"/>
  <dataValidations count="1">
    <dataValidation allowBlank="true" errorStyle="stop" operator="between" showDropDown="false" showErrorMessage="false" showInputMessage="false" sqref="G2:G11" type="list">
      <formula1>"En attente de réponse,Relancé,Répondu - intéressé,RDV pris,Pas intéressé,Client"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2A36"/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3" t="s">
        <v>189</v>
      </c>
    </row>
    <row r="2" customFormat="false" ht="15" hidden="false" customHeight="false" outlineLevel="0" collapsed="false">
      <c r="A2" s="14" t="s">
        <v>190</v>
      </c>
    </row>
    <row r="3" customFormat="false" ht="15" hidden="false" customHeight="false" outlineLevel="0" collapsed="false">
      <c r="A3" s="14" t="s">
        <v>191</v>
      </c>
    </row>
    <row r="4" customFormat="false" ht="23.85" hidden="false" customHeight="false" outlineLevel="0" collapsed="false">
      <c r="A4" s="14" t="s">
        <v>192</v>
      </c>
    </row>
    <row r="5" customFormat="false" ht="23.85" hidden="false" customHeight="false" outlineLevel="0" collapsed="false">
      <c r="A5" s="14" t="s">
        <v>193</v>
      </c>
    </row>
    <row r="6" customFormat="false" ht="15" hidden="false" customHeight="false" outlineLevel="0" collapsed="false">
      <c r="A6" s="14"/>
    </row>
    <row r="7" customFormat="false" ht="15" hidden="false" customHeight="false" outlineLevel="0" collapsed="false">
      <c r="A7" s="13" t="s">
        <v>194</v>
      </c>
    </row>
    <row r="8" customFormat="false" ht="15" hidden="false" customHeight="false" outlineLevel="0" collapsed="false">
      <c r="A8" s="14" t="s">
        <v>195</v>
      </c>
    </row>
    <row r="9" customFormat="false" ht="15" hidden="false" customHeight="false" outlineLevel="0" collapsed="false">
      <c r="A9" s="14" t="s">
        <v>196</v>
      </c>
    </row>
    <row r="10" customFormat="false" ht="15" hidden="false" customHeight="false" outlineLevel="0" collapsed="false">
      <c r="A10" s="14"/>
    </row>
    <row r="11" customFormat="false" ht="15" hidden="false" customHeight="false" outlineLevel="0" collapsed="false">
      <c r="A11" s="13" t="s">
        <v>197</v>
      </c>
    </row>
    <row r="12" customFormat="false" ht="15" hidden="false" customHeight="false" outlineLevel="0" collapsed="false">
      <c r="A12" s="14" t="s">
        <v>198</v>
      </c>
    </row>
    <row r="13" customFormat="false" ht="23.85" hidden="false" customHeight="false" outlineLevel="0" collapsed="false">
      <c r="A13" s="14" t="s">
        <v>199</v>
      </c>
    </row>
    <row r="14" customFormat="false" ht="15" hidden="false" customHeight="false" outlineLevel="0" collapsed="false">
      <c r="A14" s="14" t="s">
        <v>200</v>
      </c>
    </row>
    <row r="15" customFormat="false" ht="15" hidden="false" customHeight="false" outlineLevel="0" collapsed="false">
      <c r="A15" s="14" t="s">
        <v>201</v>
      </c>
    </row>
    <row r="16" customFormat="false" ht="15" hidden="false" customHeight="false" outlineLevel="0" collapsed="false">
      <c r="A16" s="14" t="s">
        <v>202</v>
      </c>
    </row>
    <row r="17" customFormat="false" ht="15" hidden="false" customHeight="false" outlineLevel="0" collapsed="false">
      <c r="A17" s="14"/>
    </row>
    <row r="18" customFormat="false" ht="15" hidden="false" customHeight="false" outlineLevel="0" collapsed="false">
      <c r="A18" s="13" t="s">
        <v>203</v>
      </c>
    </row>
    <row r="19" customFormat="false" ht="23.85" hidden="false" customHeight="false" outlineLevel="0" collapsed="false">
      <c r="A19" s="1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2A36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4" t="s">
        <v>12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21</v>
      </c>
    </row>
    <row r="2" customFormat="false" ht="23.85" hidden="false" customHeight="false" outlineLevel="0" collapsed="false">
      <c r="A2" s="6" t="n">
        <v>1</v>
      </c>
      <c r="B2" s="6" t="s">
        <v>209</v>
      </c>
      <c r="C2" s="6" t="s">
        <v>210</v>
      </c>
      <c r="D2" s="6" t="s">
        <v>211</v>
      </c>
      <c r="E2" s="6" t="s">
        <v>212</v>
      </c>
      <c r="F2" s="7" t="s">
        <v>213</v>
      </c>
    </row>
    <row r="3" customFormat="false" ht="23.85" hidden="false" customHeight="false" outlineLevel="0" collapsed="false">
      <c r="A3" s="6" t="n">
        <v>1</v>
      </c>
      <c r="B3" s="6" t="s">
        <v>214</v>
      </c>
      <c r="C3" s="6" t="s">
        <v>215</v>
      </c>
      <c r="D3" s="6" t="s">
        <v>216</v>
      </c>
      <c r="E3" s="6" t="s">
        <v>217</v>
      </c>
      <c r="F3" s="7" t="s">
        <v>213</v>
      </c>
    </row>
    <row r="4" customFormat="false" ht="23.85" hidden="false" customHeight="false" outlineLevel="0" collapsed="false">
      <c r="A4" s="6" t="n">
        <v>1</v>
      </c>
      <c r="B4" s="6" t="s">
        <v>218</v>
      </c>
      <c r="C4" s="6" t="s">
        <v>219</v>
      </c>
      <c r="D4" s="6" t="s">
        <v>220</v>
      </c>
      <c r="E4" s="6" t="s">
        <v>221</v>
      </c>
      <c r="F4" s="7" t="s">
        <v>213</v>
      </c>
    </row>
    <row r="5" customFormat="false" ht="23.85" hidden="false" customHeight="false" outlineLevel="0" collapsed="false">
      <c r="A5" s="6" t="n">
        <v>1</v>
      </c>
      <c r="B5" s="6" t="s">
        <v>222</v>
      </c>
      <c r="C5" s="6" t="s">
        <v>223</v>
      </c>
      <c r="D5" s="6" t="s">
        <v>224</v>
      </c>
      <c r="E5" s="6" t="s">
        <v>225</v>
      </c>
      <c r="F5" s="7" t="s">
        <v>213</v>
      </c>
    </row>
    <row r="6" customFormat="false" ht="23.85" hidden="false" customHeight="false" outlineLevel="0" collapsed="false">
      <c r="A6" s="6" t="n">
        <v>1</v>
      </c>
      <c r="B6" s="6" t="s">
        <v>226</v>
      </c>
      <c r="C6" s="6" t="s">
        <v>227</v>
      </c>
      <c r="D6" s="6" t="s">
        <v>228</v>
      </c>
      <c r="E6" s="6" t="s">
        <v>229</v>
      </c>
      <c r="F6" s="7" t="s">
        <v>213</v>
      </c>
    </row>
    <row r="7" customFormat="false" ht="15" hidden="false" customHeight="false" outlineLevel="0" collapsed="false">
      <c r="A7" s="6" t="n">
        <v>2</v>
      </c>
      <c r="B7" s="6" t="s">
        <v>230</v>
      </c>
      <c r="C7" s="6" t="s">
        <v>231</v>
      </c>
      <c r="D7" s="6" t="s">
        <v>228</v>
      </c>
      <c r="E7" s="6" t="s">
        <v>232</v>
      </c>
      <c r="F7" s="7" t="s">
        <v>213</v>
      </c>
    </row>
    <row r="8" customFormat="false" ht="23.85" hidden="false" customHeight="false" outlineLevel="0" collapsed="false">
      <c r="A8" s="6" t="n">
        <v>2</v>
      </c>
      <c r="B8" s="6" t="s">
        <v>233</v>
      </c>
      <c r="C8" s="6" t="s">
        <v>234</v>
      </c>
      <c r="D8" s="6" t="s">
        <v>235</v>
      </c>
      <c r="E8" s="6" t="s">
        <v>217</v>
      </c>
      <c r="F8" s="7" t="s">
        <v>213</v>
      </c>
    </row>
    <row r="9" customFormat="false" ht="15" hidden="false" customHeight="false" outlineLevel="0" collapsed="false">
      <c r="A9" s="6" t="n">
        <v>2</v>
      </c>
      <c r="B9" s="6" t="s">
        <v>236</v>
      </c>
      <c r="C9" s="6" t="s">
        <v>237</v>
      </c>
      <c r="D9" s="6" t="s">
        <v>238</v>
      </c>
      <c r="E9" s="6" t="s">
        <v>239</v>
      </c>
      <c r="F9" s="7" t="s">
        <v>213</v>
      </c>
    </row>
    <row r="10" customFormat="false" ht="23.85" hidden="false" customHeight="false" outlineLevel="0" collapsed="false">
      <c r="A10" s="6" t="n">
        <v>2</v>
      </c>
      <c r="B10" s="6" t="s">
        <v>240</v>
      </c>
      <c r="C10" s="6" t="s">
        <v>241</v>
      </c>
      <c r="D10" s="6" t="s">
        <v>242</v>
      </c>
      <c r="E10" s="6" t="s">
        <v>243</v>
      </c>
      <c r="F10" s="7" t="s">
        <v>213</v>
      </c>
    </row>
    <row r="11" customFormat="false" ht="23.85" hidden="false" customHeight="false" outlineLevel="0" collapsed="false">
      <c r="A11" s="6" t="n">
        <v>3</v>
      </c>
      <c r="B11" s="6" t="s">
        <v>244</v>
      </c>
      <c r="C11" s="6" t="s">
        <v>245</v>
      </c>
      <c r="D11" s="6" t="s">
        <v>220</v>
      </c>
      <c r="E11" s="6" t="s">
        <v>246</v>
      </c>
      <c r="F11" s="7" t="s">
        <v>213</v>
      </c>
    </row>
    <row r="12" customFormat="false" ht="23.85" hidden="false" customHeight="false" outlineLevel="0" collapsed="false">
      <c r="A12" s="6" t="n">
        <v>3</v>
      </c>
      <c r="B12" s="6" t="s">
        <v>247</v>
      </c>
      <c r="C12" s="6" t="s">
        <v>248</v>
      </c>
      <c r="D12" s="6" t="s">
        <v>220</v>
      </c>
      <c r="E12" s="6" t="s">
        <v>249</v>
      </c>
      <c r="F12" s="7" t="s">
        <v>213</v>
      </c>
    </row>
  </sheetData>
  <autoFilter ref="A1:F12"/>
  <dataValidations count="1">
    <dataValidation allowBlank="true" errorStyle="stop" operator="between" showDropDown="false" showErrorMessage="false" showInputMessage="false" sqref="F2:F12" type="list">
      <formula1>"À faire,En cours,Fait"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2026-10-13T09:16:49Z</dcterms:created>
  <dc:creator>openpyxl</dc:creator>
  <dc:description/>
  <dc:language>en-US</dc:language>
  <cp:lastModifiedBy/>
  <dcterms:modified xsi:type="dcterms:W3CDTF">2026-10-13T09:16:49Z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